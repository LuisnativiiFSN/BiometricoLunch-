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4487ed0ee46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d897cc680b5a4662"/>
    <x:sheet xmlns:r="http://schemas.openxmlformats.org/officeDocument/2006/relationships" name="Totales por día" sheetId="2" r:id="R09f77bfa83b8456c"/>
  </x:sheets>
</x:workbook>
</file>

<file path=xl/sharedStrings.xml><?xml version="1.0" encoding="utf-8"?>
<x:sst xmlns:x="http://schemas.openxmlformats.org/spreadsheetml/2006/main">
  <x:si>
    <x:t xml:space="preserve">PEDIDOS SEMANALES DE ALMUERZO</x:t>
  </x:si>
  <x:si>
    <x:t xml:space="preserve">Período: 31/08/2026 al 04/09/2026 · Ordenado por departamento, código y día</x:t>
  </x:si>
  <x:si>
    <x:t xml:space="preserve">Código</x:t>
  </x:si>
  <x:si>
    <x:t xml:space="preserve">Nombre del empleado</x:t>
  </x:si>
  <x:si>
    <x:t xml:space="preserve">Departamento</x:t>
  </x:si>
  <x:si>
    <x:t xml:space="preserve">Comida solicitada</x:t>
  </x:si>
  <x:si>
    <x:t xml:space="preserve">Día de la solicitud</x:t>
  </x:si>
  <x:si>
    <x:t xml:space="preserve">14331</x:t>
  </x:si>
  <x:si>
    <x:t xml:space="preserve">KARLA GUADALUPE MELARA GUARDADO</x:t>
  </x:si>
  <x:si>
    <x:t xml:space="preserve">F20-CALL CENTER</x:t>
  </x:si>
  <x:si>
    <x:t xml:space="preserve">CARNE GUISADA</x:t>
  </x:si>
  <x:si>
    <x:t xml:space="preserve">Martes 01/09/2026</x:t>
  </x:si>
  <x:si>
    <x:t xml:space="preserve">18908</x:t>
  </x:si>
  <x:si>
    <x:t xml:space="preserve">JUAN CARLOS QUINTEROS ARAUJO</x:t>
  </x:si>
  <x:si>
    <x:t xml:space="preserve">SOPA DE POLLO</x:t>
  </x:si>
  <x:si>
    <x:t xml:space="preserve">Lunes 31/08/2026</x:t>
  </x:si>
  <x:si>
    <x:t xml:space="preserve">15837</x:t>
  </x:si>
  <x:si>
    <x:t xml:space="preserve">BRYAN ALEXIS ALEMAN CAMPOS</x:t>
  </x:si>
  <x:si>
    <x:t xml:space="preserve">INFORMATICA-FSN</x:t>
  </x:si>
  <x:si>
    <x:t xml:space="preserve">POLLO EN SALSA DE HONGOS</x:t>
  </x:si>
  <x:si>
    <x:t xml:space="preserve">POLLO EMPANIZADO</x:t>
  </x:si>
  <x:si>
    <x:t xml:space="preserve">Miércoles 02/09/2026</x:t>
  </x:si>
  <x:si>
    <x:t xml:space="preserve">CHAOMEIN MIXTO</x:t>
  </x:si>
  <x:si>
    <x:t xml:space="preserve">Jueves 03/09/2026</x:t>
  </x:si>
  <x:si>
    <x:t xml:space="preserve">TOTALES DE PLATOS POR DÍA</x:t>
  </x:si>
  <x:si>
    <x:t xml:space="preserve">Período: 31/08/2026 al 04/09/2026</x:t>
  </x:si>
  <x:si>
    <x:t xml:space="preserve">Día</x:t>
  </x:si>
  <x:si>
    <x:t xml:space="preserve">Fecha</x:t>
  </x:si>
  <x:si>
    <x:t xml:space="preserve">Total de platos</x:t>
  </x:si>
  <x:si>
    <x:t xml:space="preserve">Lunes</x:t>
  </x:si>
  <x:si>
    <x:t xml:space="preserve">CHULETA AHUMADA</x:t>
  </x:si>
  <x:si>
    <x:t xml:space="preserve">TOTAL LUNES</x:t>
  </x:si>
  <x:si>
    <x:t xml:space="preserve">Martes</x:t>
  </x:si>
  <x:si>
    <x:t xml:space="preserve">RELLENO DE GUISQUIL</x:t>
  </x:si>
  <x:si>
    <x:t xml:space="preserve">TOTAL MARTES</x:t>
  </x:si>
  <x:si>
    <x:t xml:space="preserve">Miércoles</x:t>
  </x:si>
  <x:si>
    <x:t xml:space="preserve">TOTAL MIÉRCOLES</x:t>
  </x:si>
  <x:si>
    <x:t xml:space="preserve">Jueves</x:t>
  </x:si>
  <x:si>
    <x:t xml:space="preserve">TOTAL JUEVES</x:t>
  </x:si>
  <x:si>
    <x:t xml:space="preserve">Viernes</x:t>
  </x:si>
  <x:si>
    <x:t xml:space="preserve">PARRILLADA DE LOMO</x:t>
  </x:si>
  <x:si>
    <x:t xml:space="preserve">TOTAL VIERNES</x:t>
  </x:si>
  <x:si>
    <x:t xml:space="preserve">TOTAL GENERAL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</x:si>
</x:sst>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6">
    <x:font>
      <x:sz val="11"/>
      <x:color theme="1"/>
      <x:name val="Calibri"/>
    </x:font>
    <x:font>
      <x:b/>
      <x:sz val="16"/>
      <x:color rgb="FFFFFFFF"/>
    </x:font>
    <x:font>
      <x:b/>
      <x:sz val="10"/>
      <x:color rgb="FF075D59"/>
    </x:font>
    <x:font>
      <x:b/>
      <x:color rgb="FFFFFFFF"/>
    </x:font>
    <x:font>
      <x:b/>
      <x:color rgb="FF075D59"/>
    </x:font>
    <x:font>
      <x:b/>
      <x:sz val="12"/>
      <x:color rgb="FFFFFFFF"/>
    </x:font>
  </x:fonts>
  <x:fills count="7">
    <x:fill>
      <x:patternFill patternType="none"/>
    </x:fill>
    <x:fill>
      <x:patternFill patternType="gray125"/>
    </x:fill>
    <x:fill>
      <x:patternFill patternType="solid">
        <x:fgColor rgb="FF073B3A"/>
      </x:patternFill>
    </x:fill>
    <x:fill>
      <x:patternFill patternType="solid">
        <x:fgColor rgb="FFDDF3F1"/>
      </x:patternFill>
    </x:fill>
    <x:fill>
      <x:patternFill patternType="solid">
        <x:fgColor rgb="FF009C95"/>
      </x:patternFill>
    </x:fill>
    <x:fill>
      <x:patternFill patternType="solid">
        <x:fgColor rgb="FFF2FAF9"/>
      </x:patternFill>
    </x:fill>
    <x:fill>
      <x:patternFill patternType="solid">
        <x:fgColor rgb="FFFFFFFF"/>
      </x:patternFill>
    </x:fill>
  </x:fills>
  <x:borders count="3">
    <x:border/>
    <x:border>
      <x:bottom style="medium">
        <x:color rgb="FF073B3A"/>
      </x:bottom>
    </x:border>
    <x:border>
      <x:bottom style="hair">
        <x:color rgb="FFD5E8E6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horizontal="left" vertical="center"/>
    </x:xf>
    <x:xf numFmtId="0" fontId="3" fillId="4" borderId="1" xfId="0" applyFont="1" applyFill="1" applyBorder="1" applyAlignment="1">
      <x:alignment horizontal="left" vertical="center" wrapText="1"/>
    </x:xf>
    <x:xf numFmtId="49" fontId="0" fillId="5" borderId="2" xfId="0" applyNumberFormat="1" applyFill="1" applyBorder="1" applyAlignment="1">
      <x:alignment horizontal="center" vertical="center"/>
    </x:xf>
    <x:xf numFmtId="0" fontId="0" fillId="5" borderId="2" xfId="0" applyFill="1" applyBorder="1" applyAlignment="1">
      <x:alignment horizontal="left" vertical="center" wrapText="1"/>
    </x:xf>
    <x:xf numFmtId="49" fontId="0" fillId="6" borderId="2" xfId="0" applyNumberFormat="1" applyFill="1" applyBorder="1" applyAlignment="1">
      <x:alignment horizontal="center" vertical="center"/>
    </x:xf>
    <x:xf numFmtId="0" fontId="0" fillId="6" borderId="2" xfId="0" applyFill="1" applyBorder="1" applyAlignment="1">
      <x:alignment horizontal="left" vertical="center" wrapText="1"/>
    </x:xf>
    <x:xf numFmtId="0" fontId="0" fillId="0" borderId="2" xfId="0" applyBorder="1" applyAlignment="1">
      <x:alignment horizontal="left" vertical="center"/>
    </x:xf>
    <x:xf numFmtId="164" fontId="0" fillId="0" borderId="2" xfId="0" applyNumberFormat="1" applyBorder="1" applyAlignment="1">
      <x:alignment horizontal="left" vertical="center"/>
    </x:xf>
    <x:xf numFmtId="0" fontId="0" fillId="0" borderId="2" xfId="0" applyBorder="1" applyAlignment="1">
      <x:alignment horizontal="left" vertical="center" wrapText="1"/>
    </x:xf>
    <x:xf numFmtId="3" fontId="0" fillId="0" borderId="2" xfId="0" applyNumberFormat="1" applyBorder="1" applyAlignment="1">
      <x:alignment horizontal="center" vertical="center"/>
    </x:xf>
    <x:xf numFmtId="0" fontId="4" fillId="3" borderId="0" xfId="0" applyFont="1" applyFill="1" applyAlignment="1">
      <x:alignment horizontal="right" vertical="center"/>
    </x:xf>
    <x:xf numFmtId="3" fontId="4" fillId="3" borderId="0" xfId="0" applyNumberFormat="1" applyFont="1" applyFill="1" applyAlignment="1">
      <x:alignment horizontal="right" vertical="center"/>
    </x:xf>
    <x:xf numFmtId="0" fontId="5" fillId="4" borderId="0" xfId="0" applyFont="1" applyFill="1" applyAlignment="1">
      <x:alignment horizontal="right" vertical="center"/>
    </x:xf>
    <x:xf numFmtId="3" fontId="5" fillId="4" borderId="0" xfId="0" applyNumberFormat="1" applyFont="1" applyFill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19483a2ff427c" /><Relationship Type="http://schemas.openxmlformats.org/officeDocument/2006/relationships/theme" Target="/xl/theme/theme1.xml" Id="R0223b5fc4d744412" /><Relationship Type="http://schemas.openxmlformats.org/officeDocument/2006/relationships/sharedStrings" Target="/xl/sharedStrings.xml" Id="Ra9060a70339442be" /><Relationship Type="http://schemas.openxmlformats.org/officeDocument/2006/relationships/worksheet" Target="/xl/worksheets/sheet1.xml" Id="Rd897cc680b5a4662" /><Relationship Type="http://schemas.openxmlformats.org/officeDocument/2006/relationships/worksheet" Target="/xl/worksheets/sheet2.xml" Id="R09f77bfa83b8456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customWidth="1"/>
    <x:col min="2" max="2" width="38" customWidth="1"/>
    <x:col min="3" max="3" width="28" customWidth="1"/>
    <x:col min="4" max="4" width="42" customWidth="1"/>
    <x:col min="5" max="5" width="25" customWidth="1"/>
  </x:cols>
  <x:sheetData>
    <x:row r="1" ht="34" customHeight="1">
      <x:c r="A1" s="1" t="s">
        <x:v>0</x:v>
      </x:c>
      <x:c r="B1" s="1"/>
      <x:c r="C1" s="1"/>
      <x:c r="D1" s="1"/>
      <x:c r="E1" s="1"/>
    </x:row>
    <x:row r="2" ht="25" customHeight="1">
      <x:c r="A2" s="2" t="s">
        <x:v>1</x:v>
      </x:c>
      <x:c r="B2" s="2"/>
      <x:c r="C2" s="2"/>
      <x:c r="D2" s="2"/>
      <x:c r="E2" s="2"/>
    </x:row>
    <x:row r="4" ht="28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</x:row>
    <x:row r="5" ht="23" customHeight="1">
      <x:c r="A5" s="4" t="s">
        <x:v>7</x:v>
      </x:c>
      <x:c r="B5" s="5" t="s">
        <x:v>8</x:v>
      </x:c>
      <x:c r="C5" s="5" t="s">
        <x:v>9</x:v>
      </x:c>
      <x:c r="D5" s="5" t="s">
        <x:v>10</x:v>
      </x:c>
      <x:c r="E5" s="5" t="s">
        <x:v>11</x:v>
      </x:c>
    </x:row>
    <x:row r="6" ht="23" customHeight="1">
      <x:c r="A6" s="6" t="s">
        <x:v>12</x:v>
      </x:c>
      <x:c r="B6" s="7" t="s">
        <x:v>13</x:v>
      </x:c>
      <x:c r="C6" s="7" t="s">
        <x:v>9</x:v>
      </x:c>
      <x:c r="D6" s="7" t="s">
        <x:v>14</x:v>
      </x:c>
      <x:c r="E6" s="7" t="s">
        <x:v>15</x:v>
      </x:c>
    </x:row>
    <x:row r="7" ht="23" customHeight="1">
      <x:c r="A7" s="4" t="s">
        <x:v>16</x:v>
      </x:c>
      <x:c r="B7" s="5" t="s">
        <x:v>17</x:v>
      </x:c>
      <x:c r="C7" s="5" t="s">
        <x:v>18</x:v>
      </x:c>
      <x:c r="D7" s="5" t="s">
        <x:v>19</x:v>
      </x:c>
      <x:c r="E7" s="5" t="s">
        <x:v>15</x:v>
      </x:c>
    </x:row>
    <x:row r="8" ht="23" customHeight="1">
      <x:c r="A8" s="6" t="s">
        <x:v>16</x:v>
      </x:c>
      <x:c r="B8" s="7" t="s">
        <x:v>17</x:v>
      </x:c>
      <x:c r="C8" s="7" t="s">
        <x:v>18</x:v>
      </x:c>
      <x:c r="D8" s="7" t="s">
        <x:v>10</x:v>
      </x:c>
      <x:c r="E8" s="7" t="s">
        <x:v>11</x:v>
      </x:c>
    </x:row>
    <x:row r="9" ht="23" customHeight="1">
      <x:c r="A9" s="4" t="s">
        <x:v>16</x:v>
      </x:c>
      <x:c r="B9" s="5" t="s">
        <x:v>17</x:v>
      </x:c>
      <x:c r="C9" s="5" t="s">
        <x:v>18</x:v>
      </x:c>
      <x:c r="D9" s="5" t="s">
        <x:v>20</x:v>
      </x:c>
      <x:c r="E9" s="5" t="s">
        <x:v>21</x:v>
      </x:c>
    </x:row>
    <x:row r="10" ht="23" customHeight="1">
      <x:c r="A10" s="6" t="s">
        <x:v>16</x:v>
      </x:c>
      <x:c r="B10" s="7" t="s">
        <x:v>17</x:v>
      </x:c>
      <x:c r="C10" s="7" t="s">
        <x:v>18</x:v>
      </x:c>
      <x:c r="D10" s="7" t="s">
        <x:v>22</x:v>
      </x:c>
      <x:c r="E10" s="7" t="s">
        <x:v>23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customWidth="1"/>
    <x:col min="2" max="2" width="16" customWidth="1"/>
    <x:col min="3" max="3" width="44" customWidth="1"/>
    <x:col min="4" max="4" width="18" customWidth="1"/>
  </x:cols>
  <x:sheetData>
    <x:row r="1" ht="34" customHeight="1">
      <x:c r="A1" s="1" t="s">
        <x:v>24</x:v>
      </x:c>
      <x:c r="B1" s="1"/>
      <x:c r="C1" s="1"/>
      <x:c r="D1" s="1"/>
    </x:row>
    <x:row r="2" ht="25" customHeight="1">
      <x:c r="A2" s="2" t="s">
        <x:v>25</x:v>
      </x:c>
      <x:c r="B2" s="2"/>
      <x:c r="C2" s="2"/>
      <x:c r="D2" s="2"/>
    </x:row>
    <x:row r="4" ht="28" customHeight="1">
      <x:c r="A4" s="3" t="s">
        <x:v>26</x:v>
      </x:c>
      <x:c r="B4" s="3" t="s">
        <x:v>27</x:v>
      </x:c>
      <x:c r="C4" s="3" t="s">
        <x:v>5</x:v>
      </x:c>
      <x:c r="D4" s="3" t="s">
        <x:v>28</x:v>
      </x:c>
    </x:row>
    <x:row r="5" ht="23" customHeight="1">
      <x:c r="A5" s="8" t="s">
        <x:v>29</x:v>
      </x:c>
      <x:c r="B5" s="9">
        <x:v>46265</x:v>
      </x:c>
      <x:c r="C5" s="10" t="s">
        <x:v>19</x:v>
      </x:c>
      <x:c r="D5" s="11" t="n">
        <x:f>COUNTIFS('Pedidos'!$D$5:$D$10,C5,'Pedidos'!$E$5:$E$10,"Lunes 31/08/2026")</x:f>
        <x:v>1</x:v>
      </x:c>
    </x:row>
    <x:row r="6" ht="23" customHeight="1">
      <x:c r="A6" s="8" t="s">
        <x:v>29</x:v>
      </x:c>
      <x:c r="B6" s="9">
        <x:v>46265</x:v>
      </x:c>
      <x:c r="C6" s="10" t="s">
        <x:v>14</x:v>
      </x:c>
      <x:c r="D6" s="11" t="n">
        <x:f>COUNTIFS('Pedidos'!$D$5:$D$10,C6,'Pedidos'!$E$5:$E$10,"Lunes 31/08/2026")</x:f>
        <x:v>1</x:v>
      </x:c>
    </x:row>
    <x:row r="7" ht="23" customHeight="1">
      <x:c r="A7" s="8" t="s">
        <x:v>29</x:v>
      </x:c>
      <x:c r="B7" s="9">
        <x:v>46265</x:v>
      </x:c>
      <x:c r="C7" s="10" t="s">
        <x:v>30</x:v>
      </x:c>
      <x:c r="D7" s="11" t="n">
        <x:f>COUNTIFS('Pedidos'!$D$5:$D$10,C7,'Pedidos'!$E$5:$E$10,"Lunes 31/08/2026")</x:f>
        <x:v>0</x:v>
      </x:c>
    </x:row>
    <x:row r="8" ht="25" customHeight="1">
      <x:c r="C8" s="12" t="s">
        <x:v>31</x:v>
      </x:c>
      <x:c r="D8" s="13" t="n">
        <x:f>SUM(D5:D7)</x:f>
        <x:v>2</x:v>
      </x:c>
    </x:row>
    <x:row r="10" ht="23" customHeight="1">
      <x:c r="A10" s="8" t="s">
        <x:v>32</x:v>
      </x:c>
      <x:c r="B10" s="9">
        <x:v>46266</x:v>
      </x:c>
      <x:c r="C10" s="10" t="s">
        <x:v>10</x:v>
      </x:c>
      <x:c r="D10" s="11" t="n">
        <x:f>COUNTIFS('Pedidos'!$D$5:$D$10,C10,'Pedidos'!$E$5:$E$10,"Martes 01/09/2026")</x:f>
        <x:v>2</x:v>
      </x:c>
    </x:row>
    <x:row r="11" ht="23" customHeight="1">
      <x:c r="A11" s="8" t="s">
        <x:v>32</x:v>
      </x:c>
      <x:c r="B11" s="9">
        <x:v>46266</x:v>
      </x:c>
      <x:c r="C11" s="10" t="s">
        <x:v>33</x:v>
      </x:c>
      <x:c r="D11" s="11" t="n">
        <x:f>COUNTIFS('Pedidos'!$D$5:$D$10,C11,'Pedidos'!$E$5:$E$10,"Martes 01/09/2026")</x:f>
        <x:v>0</x:v>
      </x:c>
    </x:row>
    <x:row r="12" ht="25" customHeight="1">
      <x:c r="C12" s="12" t="s">
        <x:v>34</x:v>
      </x:c>
      <x:c r="D12" s="13" t="n">
        <x:f>SUM(D10:D11)</x:f>
        <x:v>2</x:v>
      </x:c>
    </x:row>
    <x:row r="14" ht="23" customHeight="1">
      <x:c r="A14" s="8" t="s">
        <x:v>35</x:v>
      </x:c>
      <x:c r="B14" s="9">
        <x:v>46267</x:v>
      </x:c>
      <x:c r="C14" s="10" t="s">
        <x:v>20</x:v>
      </x:c>
      <x:c r="D14" s="11" t="n">
        <x:f>COUNTIFS('Pedidos'!$D$5:$D$10,C14,'Pedidos'!$E$5:$E$10,"Miércoles 02/09/2026")</x:f>
        <x:v>1</x:v>
      </x:c>
    </x:row>
    <x:row r="15" ht="25" customHeight="1">
      <x:c r="C15" s="12" t="s">
        <x:v>36</x:v>
      </x:c>
      <x:c r="D15" s="13" t="n">
        <x:f>SUM(D14:D14)</x:f>
        <x:v>1</x:v>
      </x:c>
    </x:row>
    <x:row r="17" ht="23" customHeight="1">
      <x:c r="A17" s="8" t="s">
        <x:v>37</x:v>
      </x:c>
      <x:c r="B17" s="9">
        <x:v>46268</x:v>
      </x:c>
      <x:c r="C17" s="10" t="s">
        <x:v>22</x:v>
      </x:c>
      <x:c r="D17" s="11" t="n">
        <x:f>COUNTIFS('Pedidos'!$D$5:$D$10,C17,'Pedidos'!$E$5:$E$10,"Jueves 03/09/2026")</x:f>
        <x:v>1</x:v>
      </x:c>
    </x:row>
    <x:row r="18" ht="25" customHeight="1">
      <x:c r="C18" s="12" t="s">
        <x:v>38</x:v>
      </x:c>
      <x:c r="D18" s="13" t="n">
        <x:f>SUM(D17:D17)</x:f>
        <x:v>1</x:v>
      </x:c>
    </x:row>
    <x:row r="20" ht="23" customHeight="1">
      <x:c r="A20" s="8" t="s">
        <x:v>39</x:v>
      </x:c>
      <x:c r="B20" s="9">
        <x:v>46269</x:v>
      </x:c>
      <x:c r="C20" s="10" t="s">
        <x:v>40</x:v>
      </x:c>
      <x:c r="D20" s="11" t="n">
        <x:f>COUNTIFS('Pedidos'!$D$5:$D$10,C20,'Pedidos'!$E$5:$E$10,"Viernes 04/09/2026")</x:f>
        <x:v>0</x:v>
      </x:c>
    </x:row>
    <x:row r="21" ht="25" customHeight="1">
      <x:c r="C21" s="12" t="s">
        <x:v>41</x:v>
      </x:c>
      <x:c r="D21" s="13" t="n">
        <x:f>SUM(D20:D20)</x:f>
        <x:v>0</x:v>
      </x:c>
    </x:row>
    <x:row r="23" ht="30" customHeight="1">
      <x:c r="C23" s="14" t="s">
        <x:v>42</x:v>
      </x:c>
      <x:c r="D23" s="15" t="n">
        <x:f>SUM(D8,D12,D15,D18,D21)</x:f>
        <x:v>6</x:v>
      </x:c>
    </x:row>
  </x:sheetData>
  <x:mergeCells>
    <x:mergeCell ref="A1:D1"/>
    <x:mergeCell ref="A2:D2"/>
  </x:mergeCells>
  <x:pageMargins left="0.7" right="0.7" top="0.75" bottom="0.75" header="0.3" footer="0.3"/>
</x:worksheet>
</file>